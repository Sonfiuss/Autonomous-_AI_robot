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Autonomous_AI_robot\asset\"/>
    </mc:Choice>
  </mc:AlternateContent>
  <xr:revisionPtr revIDLastSave="0" documentId="8_{D21B61C9-CF9C-4557-8F32-C6BFDF42D04D}" xr6:coauthVersionLast="47" xr6:coauthVersionMax="47" xr10:uidLastSave="{00000000-0000-0000-0000-000000000000}"/>
  <bookViews>
    <workbookView xWindow="-120" yWindow="-120" windowWidth="20730" windowHeight="11040" xr2:uid="{D5832F5E-D436-42AC-8991-4E5076288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4" i="1"/>
  <c r="K5" i="1"/>
  <c r="K6" i="1"/>
  <c r="K7" i="1"/>
  <c r="K8" i="1"/>
  <c r="K9" i="1"/>
  <c r="K10" i="1"/>
  <c r="K11" i="1"/>
  <c r="K12" i="1"/>
  <c r="K13" i="1"/>
  <c r="K14" i="1"/>
  <c r="K16" i="1"/>
  <c r="K3" i="1"/>
  <c r="K17" i="1" l="1"/>
</calcChain>
</file>

<file path=xl/sharedStrings.xml><?xml version="1.0" encoding="utf-8"?>
<sst xmlns="http://schemas.openxmlformats.org/spreadsheetml/2006/main" count="28" uniqueCount="28">
  <si>
    <t xml:space="preserve">STT </t>
  </si>
  <si>
    <t>Danh sách vật cứng cần thiết</t>
  </si>
  <si>
    <t>Số lượng</t>
  </si>
  <si>
    <t>Đơn giá</t>
  </si>
  <si>
    <t>Note</t>
  </si>
  <si>
    <t>Bánh xe omni</t>
  </si>
  <si>
    <t>Thông số</t>
  </si>
  <si>
    <t>Nhôm, D= 11cm</t>
  </si>
  <si>
    <t>Chữ L cố định Step</t>
  </si>
  <si>
    <t>Thép,  d= 5.4 cm</t>
  </si>
  <si>
    <t>StepMotor Nema23</t>
  </si>
  <si>
    <t>Loại 54mm</t>
  </si>
  <si>
    <t>Drive DM542</t>
  </si>
  <si>
    <t>Driver DM556</t>
  </si>
  <si>
    <t>Nhôm hợp kim tấm</t>
  </si>
  <si>
    <t>400*500*3 mm</t>
  </si>
  <si>
    <t>Arduino UNO</t>
  </si>
  <si>
    <t xml:space="preserve">Arm Robot </t>
  </si>
  <si>
    <t>Nhôm, L = 48cm</t>
  </si>
  <si>
    <t>Servo MG996R</t>
  </si>
  <si>
    <t>Mica tấm trên</t>
  </si>
  <si>
    <t>400*500*5</t>
  </si>
  <si>
    <t xml:space="preserve">Jetson origin </t>
  </si>
  <si>
    <t>Boost DC 21-&gt; 5V</t>
  </si>
  <si>
    <t>SUM</t>
  </si>
  <si>
    <t>Tổng giá</t>
  </si>
  <si>
    <t>Camera</t>
  </si>
  <si>
    <t>Trục kim loại ren 2 đầu loại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</si>
</sst>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70F9-15B8-4831-B683-E5AFEB3DD7A4}">
  <dimension ref="C2:Q17"/>
  <sheetViews>
    <sheetView tabSelected="1" workbookViewId="0">
      <selection activeCell="D16" sqref="D16:H16"/>
    </sheetView>
  </sheetViews>
  <sheetFormatPr defaultRowHeight="15" x14ac:dyDescent="0.25"/>
  <cols>
    <col min="3" max="3" width="6" customWidth="1"/>
    <col min="10" max="11" width="9.140625" customWidth="1"/>
    <col min="12" max="12" width="9.85546875" customWidth="1"/>
    <col min="15" max="15" width="9.140625" customWidth="1"/>
  </cols>
  <sheetData>
    <row r="2" spans="3:17" x14ac:dyDescent="0.25">
      <c r="C2" s="3" t="s">
        <v>0</v>
      </c>
      <c r="D2" s="4" t="s">
        <v>1</v>
      </c>
      <c r="E2" s="4"/>
      <c r="F2" s="4"/>
      <c r="G2" s="4"/>
      <c r="H2" s="4"/>
      <c r="I2" s="3" t="s">
        <v>2</v>
      </c>
      <c r="J2" s="3" t="s">
        <v>3</v>
      </c>
      <c r="K2" s="3" t="s">
        <v>25</v>
      </c>
      <c r="L2" s="4" t="s">
        <v>6</v>
      </c>
      <c r="M2" s="4"/>
      <c r="N2" s="4"/>
      <c r="O2" s="4" t="s">
        <v>4</v>
      </c>
      <c r="P2" s="4"/>
      <c r="Q2" s="4"/>
    </row>
    <row r="3" spans="3:17" x14ac:dyDescent="0.25">
      <c r="C3" s="1">
        <v>1</v>
      </c>
      <c r="D3" s="2" t="s">
        <v>5</v>
      </c>
      <c r="E3" s="2"/>
      <c r="F3" s="2"/>
      <c r="G3" s="2"/>
      <c r="H3" s="2"/>
      <c r="I3" s="1">
        <v>3</v>
      </c>
      <c r="J3" s="1">
        <v>395</v>
      </c>
      <c r="K3" s="1">
        <f>SUM(J3 *I3)</f>
        <v>1185</v>
      </c>
      <c r="L3" s="2" t="s">
        <v>7</v>
      </c>
      <c r="M3" s="2"/>
      <c r="N3" s="2"/>
      <c r="O3" s="2"/>
      <c r="P3" s="2"/>
      <c r="Q3" s="2"/>
    </row>
    <row r="4" spans="3:17" x14ac:dyDescent="0.25">
      <c r="C4" s="1">
        <v>2</v>
      </c>
      <c r="D4" s="2" t="s">
        <v>8</v>
      </c>
      <c r="E4" s="2"/>
      <c r="F4" s="2"/>
      <c r="G4" s="2"/>
      <c r="H4" s="2"/>
      <c r="I4" s="1">
        <v>3</v>
      </c>
      <c r="J4" s="1">
        <v>35</v>
      </c>
      <c r="K4" s="1">
        <f t="shared" ref="K4:K16" si="0">SUM(J4 *I4)</f>
        <v>105</v>
      </c>
      <c r="L4" s="2" t="s">
        <v>9</v>
      </c>
      <c r="M4" s="2"/>
      <c r="N4" s="2"/>
      <c r="O4" s="2"/>
      <c r="P4" s="2"/>
      <c r="Q4" s="2"/>
    </row>
    <row r="5" spans="3:17" x14ac:dyDescent="0.25">
      <c r="C5" s="1">
        <v>3</v>
      </c>
      <c r="D5" s="2" t="s">
        <v>10</v>
      </c>
      <c r="E5" s="2"/>
      <c r="F5" s="2"/>
      <c r="G5" s="2"/>
      <c r="H5" s="2"/>
      <c r="I5" s="1">
        <v>3</v>
      </c>
      <c r="J5" s="1">
        <v>400</v>
      </c>
      <c r="K5" s="1">
        <f t="shared" si="0"/>
        <v>1200</v>
      </c>
      <c r="L5" s="2" t="s">
        <v>11</v>
      </c>
      <c r="M5" s="2"/>
      <c r="N5" s="2"/>
      <c r="O5" s="2"/>
      <c r="P5" s="2"/>
      <c r="Q5" s="2"/>
    </row>
    <row r="6" spans="3:17" x14ac:dyDescent="0.25">
      <c r="C6" s="1">
        <v>4</v>
      </c>
      <c r="D6" s="2" t="s">
        <v>12</v>
      </c>
      <c r="E6" s="2"/>
      <c r="F6" s="2"/>
      <c r="G6" s="2"/>
      <c r="H6" s="2"/>
      <c r="I6" s="1">
        <v>2</v>
      </c>
      <c r="J6" s="1">
        <v>350</v>
      </c>
      <c r="K6" s="1">
        <f t="shared" si="0"/>
        <v>700</v>
      </c>
      <c r="L6" s="2"/>
      <c r="M6" s="2"/>
      <c r="N6" s="2"/>
      <c r="O6" s="2"/>
      <c r="P6" s="2"/>
      <c r="Q6" s="2"/>
    </row>
    <row r="7" spans="3:17" x14ac:dyDescent="0.25">
      <c r="C7" s="1">
        <v>5</v>
      </c>
      <c r="D7" s="2" t="s">
        <v>13</v>
      </c>
      <c r="E7" s="2"/>
      <c r="F7" s="2"/>
      <c r="G7" s="2"/>
      <c r="H7" s="2"/>
      <c r="I7" s="1">
        <v>1</v>
      </c>
      <c r="J7" s="1">
        <v>350</v>
      </c>
      <c r="K7" s="1">
        <f t="shared" si="0"/>
        <v>350</v>
      </c>
      <c r="L7" s="2"/>
      <c r="M7" s="2"/>
      <c r="N7" s="2"/>
      <c r="O7" s="2"/>
      <c r="P7" s="2"/>
      <c r="Q7" s="2"/>
    </row>
    <row r="8" spans="3:17" x14ac:dyDescent="0.25">
      <c r="C8" s="1">
        <v>6</v>
      </c>
      <c r="D8" s="2" t="s">
        <v>14</v>
      </c>
      <c r="E8" s="2"/>
      <c r="F8" s="2"/>
      <c r="G8" s="2"/>
      <c r="H8" s="2"/>
      <c r="I8" s="1">
        <v>1</v>
      </c>
      <c r="J8" s="1">
        <v>120</v>
      </c>
      <c r="K8" s="1">
        <f t="shared" si="0"/>
        <v>120</v>
      </c>
      <c r="L8" s="2" t="s">
        <v>15</v>
      </c>
      <c r="M8" s="2"/>
      <c r="N8" s="2"/>
      <c r="O8" s="2"/>
      <c r="P8" s="2"/>
      <c r="Q8" s="2"/>
    </row>
    <row r="9" spans="3:17" x14ac:dyDescent="0.25">
      <c r="C9" s="1">
        <v>7</v>
      </c>
      <c r="D9" s="2" t="s">
        <v>16</v>
      </c>
      <c r="E9" s="2"/>
      <c r="F9" s="2"/>
      <c r="G9" s="2"/>
      <c r="H9" s="2"/>
      <c r="I9" s="1">
        <v>1</v>
      </c>
      <c r="J9" s="1">
        <v>110</v>
      </c>
      <c r="K9" s="1">
        <f t="shared" si="0"/>
        <v>110</v>
      </c>
      <c r="L9" s="2"/>
      <c r="M9" s="2"/>
      <c r="N9" s="2"/>
      <c r="O9" s="2"/>
      <c r="P9" s="2"/>
      <c r="Q9" s="2"/>
    </row>
    <row r="10" spans="3:17" x14ac:dyDescent="0.25">
      <c r="C10" s="1">
        <v>8</v>
      </c>
      <c r="D10" s="2" t="s">
        <v>17</v>
      </c>
      <c r="E10" s="2"/>
      <c r="F10" s="2"/>
      <c r="G10" s="2"/>
      <c r="H10" s="2"/>
      <c r="I10" s="1">
        <v>1</v>
      </c>
      <c r="J10" s="1">
        <v>490</v>
      </c>
      <c r="K10" s="1">
        <f t="shared" si="0"/>
        <v>490</v>
      </c>
      <c r="L10" s="2" t="s">
        <v>18</v>
      </c>
      <c r="M10" s="2"/>
      <c r="N10" s="2"/>
      <c r="O10" s="2"/>
      <c r="P10" s="2"/>
      <c r="Q10" s="2"/>
    </row>
    <row r="11" spans="3:17" x14ac:dyDescent="0.25">
      <c r="C11" s="1">
        <v>9</v>
      </c>
      <c r="D11" s="2" t="s">
        <v>19</v>
      </c>
      <c r="E11" s="2"/>
      <c r="F11" s="2"/>
      <c r="G11" s="2"/>
      <c r="H11" s="2"/>
      <c r="I11" s="1">
        <v>6</v>
      </c>
      <c r="J11" s="1">
        <v>85</v>
      </c>
      <c r="K11" s="1">
        <f t="shared" si="0"/>
        <v>510</v>
      </c>
      <c r="L11" s="2"/>
      <c r="M11" s="2"/>
      <c r="N11" s="2"/>
      <c r="O11" s="2"/>
      <c r="P11" s="2"/>
      <c r="Q11" s="2"/>
    </row>
    <row r="12" spans="3:17" x14ac:dyDescent="0.25">
      <c r="C12" s="1">
        <v>10</v>
      </c>
      <c r="D12" s="2" t="s">
        <v>20</v>
      </c>
      <c r="E12" s="2"/>
      <c r="F12" s="2"/>
      <c r="G12" s="2"/>
      <c r="H12" s="2"/>
      <c r="I12" s="1">
        <v>1</v>
      </c>
      <c r="J12" s="1">
        <v>100</v>
      </c>
      <c r="K12" s="1">
        <f t="shared" si="0"/>
        <v>100</v>
      </c>
      <c r="L12" s="2" t="s">
        <v>21</v>
      </c>
      <c r="M12" s="2"/>
      <c r="N12" s="2"/>
      <c r="O12" s="2"/>
      <c r="P12" s="2"/>
      <c r="Q12" s="2"/>
    </row>
    <row r="13" spans="3:17" x14ac:dyDescent="0.25">
      <c r="C13" s="1">
        <v>11</v>
      </c>
      <c r="D13" s="2" t="s">
        <v>22</v>
      </c>
      <c r="E13" s="2"/>
      <c r="F13" s="2"/>
      <c r="G13" s="2"/>
      <c r="H13" s="2"/>
      <c r="I13" s="1">
        <v>1</v>
      </c>
      <c r="J13" s="1">
        <v>5000</v>
      </c>
      <c r="K13" s="1">
        <f t="shared" si="0"/>
        <v>5000</v>
      </c>
      <c r="L13" s="2"/>
      <c r="M13" s="2"/>
      <c r="N13" s="2"/>
      <c r="O13" s="2"/>
      <c r="P13" s="2"/>
      <c r="Q13" s="2"/>
    </row>
    <row r="14" spans="3:17" x14ac:dyDescent="0.25">
      <c r="C14" s="1">
        <v>12</v>
      </c>
      <c r="D14" s="2" t="s">
        <v>23</v>
      </c>
      <c r="E14" s="2"/>
      <c r="F14" s="2"/>
      <c r="G14" s="2"/>
      <c r="H14" s="2"/>
      <c r="I14" s="1">
        <v>1</v>
      </c>
      <c r="J14" s="1">
        <v>25</v>
      </c>
      <c r="K14" s="1">
        <f t="shared" si="0"/>
        <v>25</v>
      </c>
      <c r="L14" s="2"/>
      <c r="M14" s="2"/>
      <c r="N14" s="2"/>
      <c r="O14" s="2"/>
      <c r="P14" s="2"/>
      <c r="Q14" s="2"/>
    </row>
    <row r="15" spans="3:17" x14ac:dyDescent="0.25">
      <c r="C15" s="1">
        <v>13</v>
      </c>
      <c r="D15" s="2" t="s">
        <v>26</v>
      </c>
      <c r="E15" s="2"/>
      <c r="F15" s="2"/>
      <c r="G15" s="2"/>
      <c r="H15" s="2"/>
      <c r="I15" s="1">
        <v>1</v>
      </c>
      <c r="J15" s="1">
        <v>450</v>
      </c>
      <c r="K15" s="1">
        <f t="shared" ref="K15" si="1">SUM(J15 *I15)</f>
        <v>450</v>
      </c>
      <c r="L15" s="2"/>
      <c r="M15" s="2"/>
      <c r="N15" s="2"/>
      <c r="O15" s="2"/>
      <c r="P15" s="2"/>
      <c r="Q15" s="2"/>
    </row>
    <row r="16" spans="3:17" x14ac:dyDescent="0.25">
      <c r="C16" s="1">
        <v>13</v>
      </c>
      <c r="D16" s="2" t="s">
        <v>27</v>
      </c>
      <c r="E16" s="2"/>
      <c r="F16" s="2"/>
      <c r="G16" s="2"/>
      <c r="H16" s="2"/>
      <c r="I16" s="1">
        <v>1</v>
      </c>
      <c r="J16" s="1">
        <v>450</v>
      </c>
      <c r="K16" s="1">
        <f t="shared" si="0"/>
        <v>450</v>
      </c>
      <c r="L16" s="2"/>
      <c r="M16" s="2"/>
      <c r="N16" s="2"/>
      <c r="O16" s="2"/>
      <c r="P16" s="2"/>
      <c r="Q16" s="2"/>
    </row>
    <row r="17" spans="3:17" x14ac:dyDescent="0.25">
      <c r="C17" s="5">
        <v>14</v>
      </c>
      <c r="D17" s="2" t="s">
        <v>24</v>
      </c>
      <c r="E17" s="2"/>
      <c r="F17" s="2"/>
      <c r="G17" s="2"/>
      <c r="H17" s="2"/>
      <c r="I17" s="1"/>
      <c r="J17" s="1"/>
      <c r="K17" s="1">
        <f>SUM(K3:K16)</f>
        <v>10795</v>
      </c>
      <c r="L17" s="2"/>
      <c r="M17" s="2"/>
      <c r="N17" s="2"/>
      <c r="O17" s="2"/>
      <c r="P17" s="2"/>
      <c r="Q17" s="2"/>
    </row>
  </sheetData>
  <mergeCells count="48">
    <mergeCell ref="O13:Q13"/>
    <mergeCell ref="O14:Q14"/>
    <mergeCell ref="L16:N16"/>
    <mergeCell ref="O16:Q16"/>
    <mergeCell ref="D17:H17"/>
    <mergeCell ref="L17:N17"/>
    <mergeCell ref="O17:Q17"/>
    <mergeCell ref="D15:H15"/>
    <mergeCell ref="L15:N15"/>
    <mergeCell ref="O15:Q15"/>
    <mergeCell ref="L14:N14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2:Q2"/>
    <mergeCell ref="O3:Q3"/>
    <mergeCell ref="L4:N4"/>
    <mergeCell ref="L5:N5"/>
    <mergeCell ref="L6:N6"/>
    <mergeCell ref="L7:N7"/>
    <mergeCell ref="D14:H14"/>
    <mergeCell ref="D16:H16"/>
    <mergeCell ref="L2:N2"/>
    <mergeCell ref="L3:N3"/>
    <mergeCell ref="L8:N8"/>
    <mergeCell ref="L9:N9"/>
    <mergeCell ref="L10:N10"/>
    <mergeCell ref="L11:N11"/>
    <mergeCell ref="D11:H11"/>
    <mergeCell ref="D12:H12"/>
    <mergeCell ref="D13:H13"/>
    <mergeCell ref="L12:N12"/>
    <mergeCell ref="L13:N13"/>
    <mergeCell ref="D8:H8"/>
    <mergeCell ref="D9:H9"/>
    <mergeCell ref="D10:H10"/>
    <mergeCell ref="D5:H5"/>
    <mergeCell ref="D6:H6"/>
    <mergeCell ref="D7:H7"/>
    <mergeCell ref="D2:H2"/>
    <mergeCell ref="D3:H3"/>
    <mergeCell ref="D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ThaiSon</dc:creator>
  <cp:lastModifiedBy>Hoang ThaiSon</cp:lastModifiedBy>
  <dcterms:created xsi:type="dcterms:W3CDTF">2026-03-16T15:54:39Z</dcterms:created>
  <dcterms:modified xsi:type="dcterms:W3CDTF">2026-03-17T14:11:33Z</dcterms:modified>
</cp:coreProperties>
</file>